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close</t>
        </is>
      </c>
      <c r="C1" s="1" t="inlineStr">
        <is>
          <t>gap</t>
        </is>
      </c>
      <c r="D1" s="1" t="inlineStr">
        <is>
          <t>volumn</t>
        </is>
      </c>
      <c r="E1" s="1" t="inlineStr">
        <is>
          <t>day2_v_1430</t>
        </is>
      </c>
      <c r="F1" s="1" t="inlineStr">
        <is>
          <t>day2_p_1430</t>
        </is>
      </c>
      <c r="G1" s="1" t="inlineStr">
        <is>
          <t>volumn_shrink</t>
        </is>
      </c>
      <c r="H1" s="1" t="inlineStr">
        <is>
          <t>up_ratio</t>
        </is>
      </c>
      <c r="I1" s="1" t="inlineStr">
        <is>
          <t>entry_eligible</t>
        </is>
      </c>
      <c r="J1" s="1" t="inlineStr">
        <is>
          <t>status</t>
        </is>
      </c>
      <c r="K1" s="1" t="inlineStr">
        <is>
          <t>reason</t>
        </is>
      </c>
    </row>
    <row r="2">
      <c r="A2" t="inlineStr">
        <is>
          <t>603268</t>
        </is>
      </c>
      <c r="B2" t="n">
        <v>141.5</v>
      </c>
      <c r="C2" t="n">
        <v>3.46</v>
      </c>
      <c r="D2" t="n">
        <v>21.98</v>
      </c>
      <c r="E2" t="inlineStr"/>
      <c r="F2" t="inlineStr"/>
      <c r="G2">
        <f>E2/D2</f>
        <v/>
      </c>
      <c r="H2">
        <f>(F2-B2)/C2</f>
        <v/>
      </c>
      <c r="I2">
        <f>AND(G2&lt;0.75,H2&gt;=0.8)</f>
        <v/>
      </c>
      <c r="J2" t="inlineStr"/>
      <c r="K2" t="inlineStr"/>
    </row>
    <row r="3">
      <c r="A3" t="inlineStr">
        <is>
          <t>600961</t>
        </is>
      </c>
      <c r="B3" t="n">
        <v>26.73</v>
      </c>
      <c r="C3" t="n">
        <v>2.43</v>
      </c>
      <c r="D3" t="n">
        <v>11.85</v>
      </c>
      <c r="E3" t="inlineStr"/>
      <c r="F3" t="inlineStr"/>
      <c r="G3">
        <f>E3/D3</f>
        <v/>
      </c>
      <c r="H3">
        <f>(F3-B3)/C3</f>
        <v/>
      </c>
      <c r="I3">
        <f>AND(G3&lt;0.75,H3&gt;=0.8)</f>
        <v/>
      </c>
      <c r="J3" t="inlineStr"/>
      <c r="K3" t="inlineStr"/>
    </row>
    <row r="4">
      <c r="A4" t="inlineStr">
        <is>
          <t>600118</t>
        </is>
      </c>
      <c r="B4" t="n">
        <v>100.2</v>
      </c>
      <c r="C4" t="n">
        <v>1.98</v>
      </c>
      <c r="D4" t="n">
        <v>119.23</v>
      </c>
      <c r="E4" t="inlineStr"/>
      <c r="F4" t="inlineStr"/>
      <c r="G4">
        <f>E4/D4</f>
        <v/>
      </c>
      <c r="H4">
        <f>(F4-B4)/C4</f>
        <v/>
      </c>
      <c r="I4">
        <f>AND(G4&lt;0.75,H4&gt;=0.8)</f>
        <v/>
      </c>
      <c r="J4" t="inlineStr"/>
      <c r="K4" t="inlineStr"/>
    </row>
    <row r="5">
      <c r="A5" t="inlineStr">
        <is>
          <t>002565</t>
        </is>
      </c>
      <c r="B5" t="n">
        <v>22.32</v>
      </c>
      <c r="C5" t="n">
        <v>1.09</v>
      </c>
      <c r="D5" t="n">
        <v>129.6</v>
      </c>
      <c r="E5" t="inlineStr"/>
      <c r="F5" t="inlineStr"/>
      <c r="G5">
        <f>E5/D5</f>
        <v/>
      </c>
      <c r="H5">
        <f>(F5-B5)/C5</f>
        <v/>
      </c>
      <c r="I5">
        <f>AND(G5&lt;0.75,H5&gt;=0.8)</f>
        <v/>
      </c>
      <c r="J5" t="inlineStr"/>
      <c r="K5" t="inlineStr"/>
    </row>
    <row r="6">
      <c r="A6" t="inlineStr">
        <is>
          <t>603017</t>
        </is>
      </c>
      <c r="B6" t="n">
        <v>15.63</v>
      </c>
      <c r="C6" t="n">
        <v>1.05</v>
      </c>
      <c r="D6" t="n">
        <v>14.74</v>
      </c>
      <c r="E6" t="inlineStr"/>
      <c r="F6" t="inlineStr"/>
      <c r="G6">
        <f>E6/D6</f>
        <v/>
      </c>
      <c r="H6">
        <f>(F6-B6)/C6</f>
        <v/>
      </c>
      <c r="I6">
        <f>AND(G6&lt;0.75,H6&gt;=0.8)</f>
        <v/>
      </c>
      <c r="J6" t="inlineStr"/>
      <c r="K6" t="inlineStr"/>
    </row>
    <row r="7">
      <c r="A7" t="inlineStr">
        <is>
          <t>002466</t>
        </is>
      </c>
      <c r="B7" t="n">
        <v>70.70999999999999</v>
      </c>
      <c r="C7" t="n">
        <v>1.01</v>
      </c>
      <c r="D7" t="n">
        <v>136.71</v>
      </c>
      <c r="E7" t="inlineStr"/>
      <c r="F7" t="inlineStr"/>
      <c r="G7">
        <f>E7/D7</f>
        <v/>
      </c>
      <c r="H7">
        <f>(F7-B7)/C7</f>
        <v/>
      </c>
      <c r="I7">
        <f>AND(G7&lt;0.75,H7&gt;=0.8)</f>
        <v/>
      </c>
      <c r="J7" t="inlineStr"/>
      <c r="K7" t="inlineStr"/>
    </row>
    <row r="8">
      <c r="A8" t="inlineStr">
        <is>
          <t>300540</t>
        </is>
      </c>
      <c r="B8" t="n">
        <v>28.1</v>
      </c>
      <c r="C8" t="n">
        <v>0.97</v>
      </c>
      <c r="D8" t="n">
        <v>46.59</v>
      </c>
      <c r="E8" t="inlineStr"/>
      <c r="F8" t="inlineStr"/>
      <c r="G8">
        <f>E8/D8</f>
        <v/>
      </c>
      <c r="H8">
        <f>(F8-B8)/C8</f>
        <v/>
      </c>
      <c r="I8">
        <f>AND(G8&lt;0.75,H8&gt;=0.8)</f>
        <v/>
      </c>
      <c r="J8" t="inlineStr"/>
      <c r="K8" t="inlineStr"/>
    </row>
    <row r="9">
      <c r="A9" t="inlineStr">
        <is>
          <t>603778</t>
        </is>
      </c>
      <c r="B9" t="n">
        <v>29</v>
      </c>
      <c r="C9" t="n">
        <v>0.92</v>
      </c>
      <c r="D9" t="n">
        <v>119.83</v>
      </c>
      <c r="E9" t="inlineStr"/>
      <c r="F9" t="inlineStr"/>
      <c r="G9">
        <f>E9/D9</f>
        <v/>
      </c>
      <c r="H9">
        <f>(F9-B9)/C9</f>
        <v/>
      </c>
      <c r="I9">
        <f>AND(G9&lt;0.75,H9&gt;=0.8)</f>
        <v/>
      </c>
      <c r="J9" t="inlineStr"/>
      <c r="K9" t="inlineStr"/>
    </row>
    <row r="10">
      <c r="A10" t="inlineStr">
        <is>
          <t>002361</t>
        </is>
      </c>
      <c r="B10" t="n">
        <v>22.69</v>
      </c>
      <c r="C10" t="n">
        <v>0.72</v>
      </c>
      <c r="D10" t="n">
        <v>357.33</v>
      </c>
      <c r="E10" t="inlineStr"/>
      <c r="F10" t="inlineStr"/>
      <c r="G10">
        <f>E10/D10</f>
        <v/>
      </c>
      <c r="H10">
        <f>(F10-B10)/C10</f>
        <v/>
      </c>
      <c r="I10">
        <f>AND(G10&lt;0.75,H10&gt;=0.8)</f>
        <v/>
      </c>
      <c r="J10" t="inlineStr"/>
      <c r="K10" t="inlineStr"/>
    </row>
    <row r="11">
      <c r="A11" t="inlineStr">
        <is>
          <t>603699</t>
        </is>
      </c>
      <c r="B11" t="n">
        <v>59</v>
      </c>
      <c r="C11" t="n">
        <v>0.68</v>
      </c>
      <c r="D11" t="n">
        <v>18.24</v>
      </c>
      <c r="E11" t="inlineStr"/>
      <c r="F11" t="inlineStr"/>
      <c r="G11">
        <f>E11/D11</f>
        <v/>
      </c>
      <c r="H11">
        <f>(F11-B11)/C11</f>
        <v/>
      </c>
      <c r="I11">
        <f>AND(G11&lt;0.75,H11&gt;=0.8)</f>
        <v/>
      </c>
      <c r="J11" t="inlineStr"/>
      <c r="K11" t="inlineStr"/>
    </row>
    <row r="12">
      <c r="A12" t="inlineStr">
        <is>
          <t>003018</t>
        </is>
      </c>
      <c r="B12" t="n">
        <v>47.45</v>
      </c>
      <c r="C12" t="n">
        <v>0.41</v>
      </c>
      <c r="D12" t="n">
        <v>12.97</v>
      </c>
      <c r="E12" t="inlineStr"/>
      <c r="F12" t="inlineStr"/>
      <c r="G12">
        <f>E12/D12</f>
        <v/>
      </c>
      <c r="H12">
        <f>(F12-B12)/C12</f>
        <v/>
      </c>
      <c r="I12">
        <f>AND(G12&lt;0.75,H12&gt;=0.8)</f>
        <v/>
      </c>
      <c r="J12" t="inlineStr"/>
      <c r="K12" t="inlineStr"/>
    </row>
    <row r="13">
      <c r="A13" t="inlineStr">
        <is>
          <t>600678</t>
        </is>
      </c>
      <c r="B13" t="n">
        <v>11.87</v>
      </c>
      <c r="C13" t="n">
        <v>0.37</v>
      </c>
      <c r="D13" t="n">
        <v>29.84</v>
      </c>
      <c r="E13" t="inlineStr"/>
      <c r="F13" t="inlineStr"/>
      <c r="G13">
        <f>E13/D13</f>
        <v/>
      </c>
      <c r="H13">
        <f>(F13-B13)/C13</f>
        <v/>
      </c>
      <c r="I13">
        <f>AND(G13&lt;0.75,H13&gt;=0.8)</f>
        <v/>
      </c>
      <c r="J13" t="inlineStr"/>
      <c r="K13" t="inlineStr"/>
    </row>
    <row r="14">
      <c r="A14" t="inlineStr">
        <is>
          <t>600389</t>
        </is>
      </c>
      <c r="B14" t="n">
        <v>30.07</v>
      </c>
      <c r="C14" t="n">
        <v>0.28</v>
      </c>
      <c r="D14" t="n">
        <v>16.53</v>
      </c>
      <c r="E14" t="inlineStr"/>
      <c r="F14" t="inlineStr"/>
      <c r="G14">
        <f>E14/D14</f>
        <v/>
      </c>
      <c r="H14">
        <f>(F14-B14)/C14</f>
        <v/>
      </c>
      <c r="I14">
        <f>AND(G14&lt;0.75,H14&gt;=0.8)</f>
        <v/>
      </c>
      <c r="J14" t="inlineStr"/>
      <c r="K14" t="inlineStr"/>
    </row>
    <row r="15">
      <c r="A15" t="inlineStr">
        <is>
          <t>301290</t>
        </is>
      </c>
      <c r="B15" t="n">
        <v>29.3</v>
      </c>
      <c r="C15" t="n">
        <v>0.24</v>
      </c>
      <c r="D15" t="n">
        <v>46868</v>
      </c>
      <c r="E15" t="inlineStr"/>
      <c r="F15" t="inlineStr"/>
      <c r="G15">
        <f>E15/D15</f>
        <v/>
      </c>
      <c r="H15">
        <f>(F15-B15)/C15</f>
        <v/>
      </c>
      <c r="I15">
        <f>AND(G15&lt;0.75,H15&gt;=0.8)</f>
        <v/>
      </c>
      <c r="J15" t="inlineStr"/>
      <c r="K15" t="inlineStr"/>
    </row>
    <row r="16">
      <c r="A16" t="inlineStr">
        <is>
          <t>601698</t>
        </is>
      </c>
      <c r="B16" t="n">
        <v>38.17</v>
      </c>
      <c r="C16" t="n">
        <v>0.22</v>
      </c>
      <c r="D16" t="n">
        <v>172.54</v>
      </c>
      <c r="E16" t="inlineStr"/>
      <c r="F16" t="inlineStr"/>
      <c r="G16">
        <f>E16/D16</f>
        <v/>
      </c>
      <c r="H16">
        <f>(F16-B16)/C16</f>
        <v/>
      </c>
      <c r="I16">
        <f>AND(G16&lt;0.75,H16&gt;=0.8)</f>
        <v/>
      </c>
      <c r="J16" t="inlineStr"/>
      <c r="K16" t="inlineStr"/>
    </row>
    <row r="17">
      <c r="A17" t="inlineStr">
        <is>
          <t>002414</t>
        </is>
      </c>
      <c r="B17" t="n">
        <v>14.3</v>
      </c>
      <c r="C17" t="n">
        <v>0.21</v>
      </c>
      <c r="D17" t="n">
        <v>197.82</v>
      </c>
      <c r="E17" t="inlineStr"/>
      <c r="F17" t="inlineStr"/>
      <c r="G17">
        <f>E17/D17</f>
        <v/>
      </c>
      <c r="H17">
        <f>(F17-B17)/C17</f>
        <v/>
      </c>
      <c r="I17">
        <f>AND(G17&lt;0.75,H17&gt;=0.8)</f>
        <v/>
      </c>
      <c r="J17" t="inlineStr"/>
      <c r="K17" t="inlineStr"/>
    </row>
    <row r="18">
      <c r="A18" t="inlineStr">
        <is>
          <t>600023</t>
        </is>
      </c>
      <c r="B18" t="n">
        <v>5.72</v>
      </c>
      <c r="C18" t="n">
        <v>0.01</v>
      </c>
      <c r="D18" t="n">
        <v>77.3</v>
      </c>
      <c r="E18" t="inlineStr"/>
      <c r="F18" t="inlineStr"/>
      <c r="G18">
        <f>E18/D18</f>
        <v/>
      </c>
      <c r="H18">
        <f>(F18-B18)/C18</f>
        <v/>
      </c>
      <c r="I18">
        <f>AND(G18&lt;0.75,H18&gt;=0.8)</f>
        <v/>
      </c>
      <c r="J18" t="inlineStr"/>
      <c r="K18" t="inlineStr"/>
    </row>
    <row r="19">
      <c r="A19" t="inlineStr">
        <is>
          <t>002875</t>
        </is>
      </c>
      <c r="B19" t="n">
        <v>23.84</v>
      </c>
      <c r="C19" t="n">
        <v>0.01</v>
      </c>
      <c r="D19" t="n">
        <v>14.86</v>
      </c>
      <c r="E19" t="inlineStr"/>
      <c r="F19" t="inlineStr"/>
      <c r="G19">
        <f>E19/D19</f>
        <v/>
      </c>
      <c r="H19">
        <f>(F19-B19)/C19</f>
        <v/>
      </c>
      <c r="I19">
        <f>AND(G19&lt;0.75,H19&gt;=0.8)</f>
        <v/>
      </c>
      <c r="J19" t="inlineStr"/>
      <c r="K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2026-04-21T13:35:58Z</dcterms:created>
  <dcterms:modified xmlns:dcterms="http://purl.org/dc/terms/" xmlns:xsi="http://www.w3.org/2001/XMLSchema-instance" xsi:type="dcterms:W3CDTF">2026-04-21T13:35:58Z</dcterms:modified>
</cp:coreProperties>
</file>