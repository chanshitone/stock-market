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s\vsCodeProjects\stock-market\adam_theory\output\"/>
    </mc:Choice>
  </mc:AlternateContent>
  <xr:revisionPtr revIDLastSave="0" documentId="13_ncr:1_{734D6A38-0A9D-4D80-88CA-59935C9C500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J19" i="1" s="1"/>
  <c r="E19" i="1"/>
  <c r="I19" i="1" s="1"/>
  <c r="K19" i="1" s="1"/>
  <c r="F18" i="1"/>
  <c r="J18" i="1" s="1"/>
  <c r="E18" i="1"/>
  <c r="I18" i="1" s="1"/>
  <c r="F17" i="1"/>
  <c r="J17" i="1" s="1"/>
  <c r="E17" i="1"/>
  <c r="I17" i="1" s="1"/>
  <c r="K17" i="1" s="1"/>
  <c r="J16" i="1"/>
  <c r="I16" i="1"/>
  <c r="K16" i="1" s="1"/>
  <c r="F16" i="1"/>
  <c r="E16" i="1"/>
  <c r="J15" i="1"/>
  <c r="I15" i="1"/>
  <c r="K15" i="1" s="1"/>
  <c r="F15" i="1"/>
  <c r="E15" i="1"/>
  <c r="I14" i="1"/>
  <c r="F14" i="1"/>
  <c r="J14" i="1" s="1"/>
  <c r="E14" i="1"/>
  <c r="J13" i="1"/>
  <c r="F13" i="1"/>
  <c r="E13" i="1"/>
  <c r="I13" i="1" s="1"/>
  <c r="K13" i="1" s="1"/>
  <c r="F12" i="1"/>
  <c r="J12" i="1" s="1"/>
  <c r="E12" i="1"/>
  <c r="I12" i="1" s="1"/>
  <c r="K12" i="1" s="1"/>
  <c r="F11" i="1"/>
  <c r="J11" i="1" s="1"/>
  <c r="E11" i="1"/>
  <c r="I11" i="1" s="1"/>
  <c r="K11" i="1" s="1"/>
  <c r="J10" i="1"/>
  <c r="F10" i="1"/>
  <c r="E10" i="1"/>
  <c r="I10" i="1" s="1"/>
  <c r="K10" i="1" s="1"/>
  <c r="I9" i="1"/>
  <c r="F9" i="1"/>
  <c r="J9" i="1" s="1"/>
  <c r="E9" i="1"/>
  <c r="I8" i="1"/>
  <c r="F8" i="1"/>
  <c r="J8" i="1" s="1"/>
  <c r="E8" i="1"/>
  <c r="F7" i="1"/>
  <c r="J7" i="1" s="1"/>
  <c r="E7" i="1"/>
  <c r="I7" i="1" s="1"/>
  <c r="K7" i="1" s="1"/>
  <c r="I6" i="1"/>
  <c r="K6" i="1" s="1"/>
  <c r="F6" i="1"/>
  <c r="J6" i="1" s="1"/>
  <c r="E6" i="1"/>
  <c r="J5" i="1"/>
  <c r="F5" i="1"/>
  <c r="E5" i="1"/>
  <c r="I5" i="1" s="1"/>
  <c r="K5" i="1" s="1"/>
  <c r="J4" i="1"/>
  <c r="F4" i="1"/>
  <c r="E4" i="1"/>
  <c r="I4" i="1" s="1"/>
  <c r="K4" i="1" s="1"/>
  <c r="J3" i="1"/>
  <c r="I3" i="1"/>
  <c r="K3" i="1" s="1"/>
  <c r="F3" i="1"/>
  <c r="E3" i="1"/>
  <c r="F2" i="1"/>
  <c r="J2" i="1" s="1"/>
  <c r="E2" i="1"/>
  <c r="I2" i="1" s="1"/>
  <c r="K2" i="1" s="1"/>
  <c r="K18" i="1" l="1"/>
  <c r="K14" i="1"/>
  <c r="K8" i="1"/>
  <c r="K9" i="1"/>
</calcChain>
</file>

<file path=xl/sharedStrings.xml><?xml version="1.0" encoding="utf-8"?>
<sst xmlns="http://schemas.openxmlformats.org/spreadsheetml/2006/main" count="31" uniqueCount="31">
  <si>
    <t>stock</t>
  </si>
  <si>
    <t>close</t>
  </si>
  <si>
    <t>gap</t>
  </si>
  <si>
    <t>volumn</t>
  </si>
  <si>
    <t>075_v</t>
  </si>
  <si>
    <t>b_price</t>
  </si>
  <si>
    <t>day2_v_1430</t>
  </si>
  <si>
    <t>day2_p_1430</t>
  </si>
  <si>
    <t>v_ful</t>
  </si>
  <si>
    <t>p_ful</t>
  </si>
  <si>
    <t>can_b</t>
  </si>
  <si>
    <t>status</t>
  </si>
  <si>
    <t>reason</t>
  </si>
  <si>
    <t>603268</t>
  </si>
  <si>
    <t>600961</t>
  </si>
  <si>
    <t>600118</t>
  </si>
  <si>
    <t>002565</t>
  </si>
  <si>
    <t>603017</t>
  </si>
  <si>
    <t>002466</t>
  </si>
  <si>
    <t>300540</t>
  </si>
  <si>
    <t>603778</t>
  </si>
  <si>
    <t>002361</t>
  </si>
  <si>
    <t>603699</t>
  </si>
  <si>
    <t>003018</t>
  </si>
  <si>
    <t>600678</t>
  </si>
  <si>
    <t>600389</t>
  </si>
  <si>
    <t>301290</t>
  </si>
  <si>
    <t>601698</t>
  </si>
  <si>
    <t>002414</t>
  </si>
  <si>
    <t>600023</t>
  </si>
  <si>
    <t>002875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</si>
</sst>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P10" sqref="P10"/>
    </sheetView>
  </sheetViews>
  <sheetFormatPr defaultRowHeight="14"/>
  <cols>
    <col min="1" max="1" width="7.26953125" bestFit="1" customWidth="1"/>
    <col min="2" max="2" width="6.7265625" bestFit="1" customWidth="1"/>
    <col min="3" max="3" width="5.26953125" bestFit="1" customWidth="1"/>
    <col min="4" max="4" width="7.81640625" bestFit="1" customWidth="1"/>
    <col min="5" max="5" width="9.26953125" bestFit="1" customWidth="1"/>
    <col min="6" max="6" width="8.90625" bestFit="1" customWidth="1"/>
    <col min="7" max="8" width="13.54296875" bestFit="1" customWidth="1"/>
    <col min="9" max="11" width="6.7265625" bestFit="1" customWidth="1"/>
    <col min="12" max="12" width="7.81640625" bestFit="1" customWidth="1"/>
    <col min="13" max="13" width="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141.5</v>
      </c>
      <c r="C2">
        <v>3.46</v>
      </c>
      <c r="D2">
        <v>21.98</v>
      </c>
      <c r="E2">
        <f t="shared" ref="E2:E19" si="0">0.75*D2</f>
        <v>16.484999999999999</v>
      </c>
      <c r="F2">
        <f t="shared" ref="F2:F19" si="1">0.8*C2+B2</f>
        <v>144.268</v>
      </c>
      <c r="I2">
        <f t="shared" ref="I2:I19" si="2">IF(AND(ISNUMBER(G2),G2&lt;=E2),1,0)</f>
        <v>0</v>
      </c>
      <c r="J2">
        <f t="shared" ref="J2:J19" si="3">IF(AND(ISNUMBER(H2),H2&gt;=F2),1,0)</f>
        <v>0</v>
      </c>
      <c r="K2" t="b">
        <f t="shared" ref="K2:K19" si="4">AND(I2=1,J2=1)</f>
        <v>0</v>
      </c>
    </row>
    <row r="3" spans="1:13">
      <c r="A3" t="s">
        <v>14</v>
      </c>
      <c r="B3">
        <v>26.73</v>
      </c>
      <c r="C3">
        <v>2.4300000000000002</v>
      </c>
      <c r="D3">
        <v>11.85</v>
      </c>
      <c r="E3">
        <f t="shared" si="0"/>
        <v>8.8874999999999993</v>
      </c>
      <c r="F3">
        <f t="shared" si="1"/>
        <v>28.673999999999999</v>
      </c>
      <c r="I3">
        <f t="shared" si="2"/>
        <v>0</v>
      </c>
      <c r="J3">
        <f t="shared" si="3"/>
        <v>0</v>
      </c>
      <c r="K3" t="b">
        <f t="shared" si="4"/>
        <v>0</v>
      </c>
    </row>
    <row r="4" spans="1:13">
      <c r="A4" t="s">
        <v>15</v>
      </c>
      <c r="B4">
        <v>100.2</v>
      </c>
      <c r="C4">
        <v>1.98</v>
      </c>
      <c r="D4">
        <v>119.23</v>
      </c>
      <c r="E4">
        <f t="shared" si="0"/>
        <v>89.422499999999999</v>
      </c>
      <c r="F4">
        <f t="shared" si="1"/>
        <v>101.78400000000001</v>
      </c>
      <c r="I4">
        <f t="shared" si="2"/>
        <v>0</v>
      </c>
      <c r="J4">
        <f t="shared" si="3"/>
        <v>0</v>
      </c>
      <c r="K4" t="b">
        <f t="shared" si="4"/>
        <v>0</v>
      </c>
    </row>
    <row r="5" spans="1:13">
      <c r="A5" t="s">
        <v>16</v>
      </c>
      <c r="B5">
        <v>22.32</v>
      </c>
      <c r="C5">
        <v>1.0900000000000001</v>
      </c>
      <c r="D5">
        <v>129.6</v>
      </c>
      <c r="E5">
        <f t="shared" si="0"/>
        <v>97.199999999999989</v>
      </c>
      <c r="F5">
        <f t="shared" si="1"/>
        <v>23.192</v>
      </c>
      <c r="I5">
        <f t="shared" si="2"/>
        <v>0</v>
      </c>
      <c r="J5">
        <f t="shared" si="3"/>
        <v>0</v>
      </c>
      <c r="K5" t="b">
        <f t="shared" si="4"/>
        <v>0</v>
      </c>
    </row>
    <row r="6" spans="1:13">
      <c r="A6" t="s">
        <v>17</v>
      </c>
      <c r="B6">
        <v>15.63</v>
      </c>
      <c r="C6">
        <v>1.05</v>
      </c>
      <c r="D6">
        <v>14.74</v>
      </c>
      <c r="E6">
        <f t="shared" si="0"/>
        <v>11.055</v>
      </c>
      <c r="F6">
        <f t="shared" si="1"/>
        <v>16.470000000000002</v>
      </c>
      <c r="I6">
        <f t="shared" si="2"/>
        <v>0</v>
      </c>
      <c r="J6">
        <f t="shared" si="3"/>
        <v>0</v>
      </c>
      <c r="K6" t="b">
        <f t="shared" si="4"/>
        <v>0</v>
      </c>
    </row>
    <row r="7" spans="1:13">
      <c r="A7" t="s">
        <v>18</v>
      </c>
      <c r="B7">
        <v>70.709999999999994</v>
      </c>
      <c r="C7">
        <v>1.01</v>
      </c>
      <c r="D7">
        <v>136.71</v>
      </c>
      <c r="E7">
        <f t="shared" si="0"/>
        <v>102.5325</v>
      </c>
      <c r="F7">
        <f t="shared" si="1"/>
        <v>71.518000000000001</v>
      </c>
      <c r="I7">
        <f t="shared" si="2"/>
        <v>0</v>
      </c>
      <c r="J7">
        <f t="shared" si="3"/>
        <v>0</v>
      </c>
      <c r="K7" t="b">
        <f t="shared" si="4"/>
        <v>0</v>
      </c>
    </row>
    <row r="8" spans="1:13">
      <c r="A8" t="s">
        <v>19</v>
      </c>
      <c r="B8">
        <v>28.1</v>
      </c>
      <c r="C8">
        <v>0.97</v>
      </c>
      <c r="D8">
        <v>46.59</v>
      </c>
      <c r="E8">
        <f t="shared" si="0"/>
        <v>34.942500000000003</v>
      </c>
      <c r="F8">
        <f t="shared" si="1"/>
        <v>28.876000000000001</v>
      </c>
      <c r="I8">
        <f t="shared" si="2"/>
        <v>0</v>
      </c>
      <c r="J8">
        <f t="shared" si="3"/>
        <v>0</v>
      </c>
      <c r="K8" t="b">
        <f t="shared" si="4"/>
        <v>0</v>
      </c>
    </row>
    <row r="9" spans="1:13">
      <c r="A9" t="s">
        <v>20</v>
      </c>
      <c r="B9">
        <v>29</v>
      </c>
      <c r="C9">
        <v>0.92</v>
      </c>
      <c r="D9">
        <v>119.83</v>
      </c>
      <c r="E9">
        <f t="shared" si="0"/>
        <v>89.872500000000002</v>
      </c>
      <c r="F9">
        <f t="shared" si="1"/>
        <v>29.736000000000001</v>
      </c>
      <c r="I9">
        <f t="shared" si="2"/>
        <v>0</v>
      </c>
      <c r="J9">
        <f t="shared" si="3"/>
        <v>0</v>
      </c>
      <c r="K9" t="b">
        <f t="shared" si="4"/>
        <v>0</v>
      </c>
    </row>
    <row r="10" spans="1:13">
      <c r="A10" t="s">
        <v>21</v>
      </c>
      <c r="B10">
        <v>22.69</v>
      </c>
      <c r="C10">
        <v>0.72</v>
      </c>
      <c r="D10">
        <v>357.33</v>
      </c>
      <c r="E10">
        <f t="shared" si="0"/>
        <v>267.9975</v>
      </c>
      <c r="F10">
        <f t="shared" si="1"/>
        <v>23.266000000000002</v>
      </c>
      <c r="I10">
        <f t="shared" si="2"/>
        <v>0</v>
      </c>
      <c r="J10">
        <f t="shared" si="3"/>
        <v>0</v>
      </c>
      <c r="K10" t="b">
        <f t="shared" si="4"/>
        <v>0</v>
      </c>
    </row>
    <row r="11" spans="1:13">
      <c r="A11" t="s">
        <v>22</v>
      </c>
      <c r="B11">
        <v>59</v>
      </c>
      <c r="C11">
        <v>0.68</v>
      </c>
      <c r="D11">
        <v>18.239999999999998</v>
      </c>
      <c r="E11">
        <f t="shared" si="0"/>
        <v>13.68</v>
      </c>
      <c r="F11">
        <f t="shared" si="1"/>
        <v>59.543999999999997</v>
      </c>
      <c r="I11">
        <f t="shared" si="2"/>
        <v>0</v>
      </c>
      <c r="J11">
        <f t="shared" si="3"/>
        <v>0</v>
      </c>
      <c r="K11" t="b">
        <f t="shared" si="4"/>
        <v>0</v>
      </c>
    </row>
    <row r="12" spans="1:13">
      <c r="A12" t="s">
        <v>23</v>
      </c>
      <c r="B12">
        <v>47.45</v>
      </c>
      <c r="C12">
        <v>0.41</v>
      </c>
      <c r="D12">
        <v>12.97</v>
      </c>
      <c r="E12">
        <f t="shared" si="0"/>
        <v>9.7275000000000009</v>
      </c>
      <c r="F12">
        <f t="shared" si="1"/>
        <v>47.778000000000006</v>
      </c>
      <c r="I12">
        <f t="shared" si="2"/>
        <v>0</v>
      </c>
      <c r="J12">
        <f t="shared" si="3"/>
        <v>0</v>
      </c>
      <c r="K12" t="b">
        <f t="shared" si="4"/>
        <v>0</v>
      </c>
    </row>
    <row r="13" spans="1:13">
      <c r="A13" t="s">
        <v>24</v>
      </c>
      <c r="B13">
        <v>11.87</v>
      </c>
      <c r="C13">
        <v>0.37</v>
      </c>
      <c r="D13">
        <v>29.84</v>
      </c>
      <c r="E13">
        <f t="shared" si="0"/>
        <v>22.38</v>
      </c>
      <c r="F13">
        <f t="shared" si="1"/>
        <v>12.165999999999999</v>
      </c>
      <c r="I13">
        <f t="shared" si="2"/>
        <v>0</v>
      </c>
      <c r="J13">
        <f t="shared" si="3"/>
        <v>0</v>
      </c>
      <c r="K13" t="b">
        <f t="shared" si="4"/>
        <v>0</v>
      </c>
    </row>
    <row r="14" spans="1:13">
      <c r="A14" t="s">
        <v>25</v>
      </c>
      <c r="B14">
        <v>30.07</v>
      </c>
      <c r="C14">
        <v>0.28000000000000003</v>
      </c>
      <c r="D14">
        <v>16.53</v>
      </c>
      <c r="E14">
        <f t="shared" si="0"/>
        <v>12.397500000000001</v>
      </c>
      <c r="F14">
        <f t="shared" si="1"/>
        <v>30.294</v>
      </c>
      <c r="I14">
        <f t="shared" si="2"/>
        <v>0</v>
      </c>
      <c r="J14">
        <f t="shared" si="3"/>
        <v>0</v>
      </c>
      <c r="K14" t="b">
        <f t="shared" si="4"/>
        <v>0</v>
      </c>
    </row>
    <row r="15" spans="1:13">
      <c r="A15" t="s">
        <v>26</v>
      </c>
      <c r="B15">
        <v>29.3</v>
      </c>
      <c r="C15">
        <v>0.24</v>
      </c>
      <c r="D15">
        <v>46868</v>
      </c>
      <c r="E15">
        <f t="shared" si="0"/>
        <v>35151</v>
      </c>
      <c r="F15">
        <f t="shared" si="1"/>
        <v>29.492000000000001</v>
      </c>
      <c r="I15">
        <f t="shared" si="2"/>
        <v>0</v>
      </c>
      <c r="J15">
        <f t="shared" si="3"/>
        <v>0</v>
      </c>
      <c r="K15" t="b">
        <f t="shared" si="4"/>
        <v>0</v>
      </c>
    </row>
    <row r="16" spans="1:13">
      <c r="A16" t="s">
        <v>27</v>
      </c>
      <c r="B16">
        <v>38.17</v>
      </c>
      <c r="C16">
        <v>0.22</v>
      </c>
      <c r="D16">
        <v>172.54</v>
      </c>
      <c r="E16">
        <f t="shared" si="0"/>
        <v>129.405</v>
      </c>
      <c r="F16">
        <f t="shared" si="1"/>
        <v>38.346000000000004</v>
      </c>
      <c r="I16">
        <f t="shared" si="2"/>
        <v>0</v>
      </c>
      <c r="J16">
        <f t="shared" si="3"/>
        <v>0</v>
      </c>
      <c r="K16" t="b">
        <f t="shared" si="4"/>
        <v>0</v>
      </c>
    </row>
    <row r="17" spans="1:11">
      <c r="A17" t="s">
        <v>28</v>
      </c>
      <c r="B17">
        <v>14.3</v>
      </c>
      <c r="C17">
        <v>0.21</v>
      </c>
      <c r="D17">
        <v>197.82</v>
      </c>
      <c r="E17">
        <f t="shared" si="0"/>
        <v>148.36500000000001</v>
      </c>
      <c r="F17">
        <f t="shared" si="1"/>
        <v>14.468</v>
      </c>
      <c r="I17">
        <f t="shared" si="2"/>
        <v>0</v>
      </c>
      <c r="J17">
        <f t="shared" si="3"/>
        <v>0</v>
      </c>
      <c r="K17" t="b">
        <f t="shared" si="4"/>
        <v>0</v>
      </c>
    </row>
    <row r="18" spans="1:11">
      <c r="A18" t="s">
        <v>29</v>
      </c>
      <c r="B18">
        <v>5.72</v>
      </c>
      <c r="C18">
        <v>0.01</v>
      </c>
      <c r="D18">
        <v>77.3</v>
      </c>
      <c r="E18">
        <f t="shared" si="0"/>
        <v>57.974999999999994</v>
      </c>
      <c r="F18">
        <f t="shared" si="1"/>
        <v>5.7279999999999998</v>
      </c>
      <c r="I18">
        <f t="shared" si="2"/>
        <v>0</v>
      </c>
      <c r="J18">
        <f t="shared" si="3"/>
        <v>0</v>
      </c>
      <c r="K18" t="b">
        <f t="shared" si="4"/>
        <v>0</v>
      </c>
    </row>
    <row r="19" spans="1:11">
      <c r="A19" t="s">
        <v>30</v>
      </c>
      <c r="B19">
        <v>23.84</v>
      </c>
      <c r="C19">
        <v>0.01</v>
      </c>
      <c r="D19">
        <v>14.86</v>
      </c>
      <c r="E19">
        <f t="shared" si="0"/>
        <v>11.145</v>
      </c>
      <c r="F19">
        <f t="shared" si="1"/>
        <v>23.847999999999999</v>
      </c>
      <c r="I19">
        <f t="shared" si="2"/>
        <v>0</v>
      </c>
      <c r="J19">
        <f t="shared" si="3"/>
        <v>0</v>
      </c>
      <c r="K19" t="b">
        <f t="shared" si="4"/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stone</cp:lastModifiedBy>
  <dcterms:created xsi:type="dcterms:W3CDTF">2026-04-21T14:46:05Z</dcterms:created>
  <dcterms:modified xsi:type="dcterms:W3CDTF">2026-04-21T14:50:12Z</dcterms:modified>
</cp:coreProperties>
</file>