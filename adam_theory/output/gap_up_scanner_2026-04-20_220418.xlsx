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close</t>
        </is>
      </c>
      <c r="C1" s="1" t="inlineStr">
        <is>
          <t>gap</t>
        </is>
      </c>
      <c r="D1" s="1" t="inlineStr">
        <is>
          <t>volumn</t>
        </is>
      </c>
      <c r="E1" s="1" t="inlineStr">
        <is>
          <t>day2_v_1430</t>
        </is>
      </c>
      <c r="F1" s="1" t="inlineStr">
        <is>
          <t>day2_p_1430</t>
        </is>
      </c>
      <c r="G1" s="1" t="inlineStr">
        <is>
          <t>volumn_shrink</t>
        </is>
      </c>
      <c r="H1" s="1" t="inlineStr">
        <is>
          <t>up_ratio</t>
        </is>
      </c>
      <c r="I1" s="1" t="inlineStr">
        <is>
          <t>entry_eligible</t>
        </is>
      </c>
      <c r="J1" s="1" t="inlineStr">
        <is>
          <t>status</t>
        </is>
      </c>
      <c r="K1" s="1" t="inlineStr">
        <is>
          <t>reason</t>
        </is>
      </c>
    </row>
    <row r="2">
      <c r="A2" t="inlineStr">
        <is>
          <t>003031</t>
        </is>
      </c>
      <c r="B2" t="n">
        <v>119.01</v>
      </c>
      <c r="C2" t="n">
        <v>4.82</v>
      </c>
      <c r="D2" t="n">
        <v>18.16</v>
      </c>
      <c r="E2" t="inlineStr"/>
      <c r="F2" t="inlineStr"/>
      <c r="G2">
        <f>E2/D2</f>
        <v/>
      </c>
      <c r="H2">
        <f>(F2-B2)/C2</f>
        <v/>
      </c>
      <c r="I2">
        <f>AND(G2&lt;0.75,H2&gt;=0.8)</f>
        <v/>
      </c>
      <c r="J2" t="inlineStr"/>
      <c r="K2" t="inlineStr"/>
    </row>
    <row r="3">
      <c r="A3" t="inlineStr">
        <is>
          <t>603083</t>
        </is>
      </c>
      <c r="B3" t="n">
        <v>152.3</v>
      </c>
      <c r="C3" t="n">
        <v>4.76</v>
      </c>
      <c r="D3" t="n">
        <v>62.97</v>
      </c>
      <c r="E3" t="inlineStr"/>
      <c r="F3" t="inlineStr"/>
      <c r="G3">
        <f>E3/D3</f>
        <v/>
      </c>
      <c r="H3">
        <f>(F3-B3)/C3</f>
        <v/>
      </c>
      <c r="I3">
        <f>AND(G3&lt;0.75,H3&gt;=0.8)</f>
        <v/>
      </c>
      <c r="J3" t="inlineStr"/>
      <c r="K3" t="inlineStr"/>
    </row>
    <row r="4">
      <c r="A4" t="inlineStr">
        <is>
          <t>300776</t>
        </is>
      </c>
      <c r="B4" t="n">
        <v>106.66</v>
      </c>
      <c r="C4" t="n">
        <v>3.64</v>
      </c>
      <c r="D4" t="n">
        <v>32.02</v>
      </c>
      <c r="E4" t="inlineStr"/>
      <c r="F4" t="inlineStr"/>
      <c r="G4">
        <f>E4/D4</f>
        <v/>
      </c>
      <c r="H4">
        <f>(F4-B4)/C4</f>
        <v/>
      </c>
      <c r="I4">
        <f>AND(G4&lt;0.75,H4&gt;=0.8)</f>
        <v/>
      </c>
      <c r="J4" t="inlineStr"/>
      <c r="K4" t="inlineStr"/>
    </row>
    <row r="5">
      <c r="A5" t="inlineStr">
        <is>
          <t>603773</t>
        </is>
      </c>
      <c r="B5" t="n">
        <v>58.19</v>
      </c>
      <c r="C5" t="n">
        <v>3.3</v>
      </c>
      <c r="D5" t="n">
        <v>95725.42999999999</v>
      </c>
      <c r="E5" t="inlineStr"/>
      <c r="F5" t="inlineStr"/>
      <c r="G5">
        <f>E5/D5</f>
        <v/>
      </c>
      <c r="H5">
        <f>(F5-B5)/C5</f>
        <v/>
      </c>
      <c r="I5">
        <f>AND(G5&lt;0.75,H5&gt;=0.8)</f>
        <v/>
      </c>
      <c r="J5" t="inlineStr"/>
      <c r="K5" t="inlineStr"/>
    </row>
    <row r="6">
      <c r="A6" t="inlineStr">
        <is>
          <t>002281</t>
        </is>
      </c>
      <c r="B6" t="n">
        <v>120.05</v>
      </c>
      <c r="C6" t="n">
        <v>2.55</v>
      </c>
      <c r="D6" t="n">
        <v>76.47</v>
      </c>
      <c r="E6" t="inlineStr"/>
      <c r="F6" t="inlineStr"/>
      <c r="G6">
        <f>E6/D6</f>
        <v/>
      </c>
      <c r="H6">
        <f>(F6-B6)/C6</f>
        <v/>
      </c>
      <c r="I6">
        <f>AND(G6&lt;0.75,H6&gt;=0.8)</f>
        <v/>
      </c>
      <c r="J6" t="inlineStr"/>
      <c r="K6" t="inlineStr"/>
    </row>
    <row r="7">
      <c r="A7" t="inlineStr">
        <is>
          <t>600961</t>
        </is>
      </c>
      <c r="B7" t="n">
        <v>24.3</v>
      </c>
      <c r="C7" t="n">
        <v>2.21</v>
      </c>
      <c r="D7" t="n">
        <v>50868.84</v>
      </c>
      <c r="E7" t="inlineStr"/>
      <c r="F7" t="inlineStr"/>
      <c r="G7">
        <f>E7/D7</f>
        <v/>
      </c>
      <c r="H7">
        <f>(F7-B7)/C7</f>
        <v/>
      </c>
      <c r="I7">
        <f>AND(G7&lt;0.75,H7&gt;=0.8)</f>
        <v/>
      </c>
      <c r="J7" t="inlineStr"/>
      <c r="K7" t="inlineStr"/>
    </row>
    <row r="8">
      <c r="A8" t="inlineStr">
        <is>
          <t>600330</t>
        </is>
      </c>
      <c r="B8" t="n">
        <v>23.9</v>
      </c>
      <c r="C8" t="n">
        <v>2.17</v>
      </c>
      <c r="D8" t="n">
        <v>30.98</v>
      </c>
      <c r="E8" t="inlineStr"/>
      <c r="F8" t="inlineStr"/>
      <c r="G8">
        <f>E8/D8</f>
        <v/>
      </c>
      <c r="H8">
        <f>(F8-B8)/C8</f>
        <v/>
      </c>
      <c r="I8">
        <f>AND(G8&lt;0.75,H8&gt;=0.8)</f>
        <v/>
      </c>
      <c r="J8" t="inlineStr"/>
      <c r="K8" t="inlineStr"/>
    </row>
    <row r="9">
      <c r="A9" t="inlineStr">
        <is>
          <t>603699</t>
        </is>
      </c>
      <c r="B9" t="n">
        <v>56.32</v>
      </c>
      <c r="C9" t="n">
        <v>1.83</v>
      </c>
      <c r="D9" t="n">
        <v>57514.88</v>
      </c>
      <c r="E9" t="inlineStr"/>
      <c r="F9" t="inlineStr"/>
      <c r="G9">
        <f>E9/D9</f>
        <v/>
      </c>
      <c r="H9">
        <f>(F9-B9)/C9</f>
        <v/>
      </c>
      <c r="I9">
        <f>AND(G9&lt;0.75,H9&gt;=0.8)</f>
        <v/>
      </c>
      <c r="J9" t="inlineStr"/>
      <c r="K9" t="inlineStr"/>
    </row>
    <row r="10">
      <c r="A10" t="inlineStr">
        <is>
          <t>002796</t>
        </is>
      </c>
      <c r="B10" t="n">
        <v>55.8</v>
      </c>
      <c r="C10" t="n">
        <v>1.79</v>
      </c>
      <c r="D10" t="n">
        <v>29.27</v>
      </c>
      <c r="E10" t="inlineStr"/>
      <c r="F10" t="inlineStr"/>
      <c r="G10">
        <f>E10/D10</f>
        <v/>
      </c>
      <c r="H10">
        <f>(F10-B10)/C10</f>
        <v/>
      </c>
      <c r="I10">
        <f>AND(G10&lt;0.75,H10&gt;=0.8)</f>
        <v/>
      </c>
      <c r="J10" t="inlineStr"/>
      <c r="K10" t="inlineStr"/>
    </row>
    <row r="11">
      <c r="A11" t="inlineStr">
        <is>
          <t>002428</t>
        </is>
      </c>
      <c r="B11" t="n">
        <v>68.2</v>
      </c>
      <c r="C11" t="n">
        <v>1.68</v>
      </c>
      <c r="D11" t="n">
        <v>115.78</v>
      </c>
      <c r="E11" t="inlineStr"/>
      <c r="F11" t="inlineStr"/>
      <c r="G11">
        <f>E11/D11</f>
        <v/>
      </c>
      <c r="H11">
        <f>(F11-B11)/C11</f>
        <v/>
      </c>
      <c r="I11">
        <f>AND(G11&lt;0.75,H11&gt;=0.8)</f>
        <v/>
      </c>
      <c r="J11" t="inlineStr"/>
      <c r="K11" t="inlineStr"/>
    </row>
    <row r="12">
      <c r="A12" t="inlineStr">
        <is>
          <t>002580</t>
        </is>
      </c>
      <c r="B12" t="n">
        <v>33</v>
      </c>
      <c r="C12" t="n">
        <v>1.62</v>
      </c>
      <c r="D12" t="n">
        <v>104.9</v>
      </c>
      <c r="E12" t="inlineStr"/>
      <c r="F12" t="inlineStr"/>
      <c r="G12">
        <f>E12/D12</f>
        <v/>
      </c>
      <c r="H12">
        <f>(F12-B12)/C12</f>
        <v/>
      </c>
      <c r="I12">
        <f>AND(G12&lt;0.75,H12&gt;=0.8)</f>
        <v/>
      </c>
      <c r="J12" t="inlineStr"/>
      <c r="K12" t="inlineStr"/>
    </row>
    <row r="13">
      <c r="A13" t="inlineStr">
        <is>
          <t>601869</t>
        </is>
      </c>
      <c r="B13" t="n">
        <v>385</v>
      </c>
      <c r="C13" t="n">
        <v>1.59</v>
      </c>
      <c r="D13" t="n">
        <v>21.01</v>
      </c>
      <c r="E13" t="inlineStr"/>
      <c r="F13" t="inlineStr"/>
      <c r="G13">
        <f>E13/D13</f>
        <v/>
      </c>
      <c r="H13">
        <f>(F13-B13)/C13</f>
        <v/>
      </c>
      <c r="I13">
        <f>AND(G13&lt;0.75,H13&gt;=0.8)</f>
        <v/>
      </c>
      <c r="J13" t="inlineStr"/>
      <c r="K13" t="inlineStr"/>
    </row>
    <row r="14">
      <c r="A14" t="inlineStr">
        <is>
          <t>600487</t>
        </is>
      </c>
      <c r="B14" t="n">
        <v>60.89</v>
      </c>
      <c r="C14" t="n">
        <v>1.4</v>
      </c>
      <c r="D14" t="n">
        <v>221.87</v>
      </c>
      <c r="E14" t="inlineStr"/>
      <c r="F14" t="inlineStr"/>
      <c r="G14">
        <f>E14/D14</f>
        <v/>
      </c>
      <c r="H14">
        <f>(F14-B14)/C14</f>
        <v/>
      </c>
      <c r="I14">
        <f>AND(G14&lt;0.75,H14&gt;=0.8)</f>
        <v/>
      </c>
      <c r="J14" t="inlineStr"/>
      <c r="K14" t="inlineStr"/>
    </row>
    <row r="15">
      <c r="A15" t="inlineStr">
        <is>
          <t>002487</t>
        </is>
      </c>
      <c r="B15" t="n">
        <v>89.63</v>
      </c>
      <c r="C15" t="n">
        <v>1.24</v>
      </c>
      <c r="D15" t="n">
        <v>35.29</v>
      </c>
      <c r="E15" t="inlineStr"/>
      <c r="F15" t="inlineStr"/>
      <c r="G15">
        <f>E15/D15</f>
        <v/>
      </c>
      <c r="H15">
        <f>(F15-B15)/C15</f>
        <v/>
      </c>
      <c r="I15">
        <f>AND(G15&lt;0.75,H15&gt;=0.8)</f>
        <v/>
      </c>
      <c r="J15" t="inlineStr"/>
      <c r="K15" t="inlineStr"/>
    </row>
    <row r="16">
      <c r="A16" t="inlineStr">
        <is>
          <t>301093</t>
        </is>
      </c>
      <c r="B16" t="n">
        <v>80.93000000000001</v>
      </c>
      <c r="C16" t="n">
        <v>1.21</v>
      </c>
      <c r="D16" t="n">
        <v>50332.3</v>
      </c>
      <c r="E16" t="inlineStr"/>
      <c r="F16" t="inlineStr"/>
      <c r="G16">
        <f>E16/D16</f>
        <v/>
      </c>
      <c r="H16">
        <f>(F16-B16)/C16</f>
        <v/>
      </c>
      <c r="I16">
        <f>AND(G16&lt;0.75,H16&gt;=0.8)</f>
        <v/>
      </c>
      <c r="J16" t="inlineStr"/>
      <c r="K16" t="inlineStr"/>
    </row>
    <row r="17">
      <c r="A17" t="inlineStr">
        <is>
          <t>600590</t>
        </is>
      </c>
      <c r="B17" t="n">
        <v>17.42</v>
      </c>
      <c r="C17" t="n">
        <v>1.09</v>
      </c>
      <c r="D17" t="n">
        <v>40.73</v>
      </c>
      <c r="E17" t="inlineStr"/>
      <c r="F17" t="inlineStr"/>
      <c r="G17">
        <f>E17/D17</f>
        <v/>
      </c>
      <c r="H17">
        <f>(F17-B17)/C17</f>
        <v/>
      </c>
      <c r="I17">
        <f>AND(G17&lt;0.75,H17&gt;=0.8)</f>
        <v/>
      </c>
      <c r="J17" t="inlineStr"/>
      <c r="K17" t="inlineStr"/>
    </row>
    <row r="18">
      <c r="A18" t="inlineStr">
        <is>
          <t>300373</t>
        </is>
      </c>
      <c r="B18" t="n">
        <v>81.78</v>
      </c>
      <c r="C18" t="n">
        <v>1.01</v>
      </c>
      <c r="D18" t="n">
        <v>18.82</v>
      </c>
      <c r="E18" t="inlineStr"/>
      <c r="F18" t="inlineStr"/>
      <c r="G18">
        <f>E18/D18</f>
        <v/>
      </c>
      <c r="H18">
        <f>(F18-B18)/C18</f>
        <v/>
      </c>
      <c r="I18">
        <f>AND(G18&lt;0.75,H18&gt;=0.8)</f>
        <v/>
      </c>
      <c r="J18" t="inlineStr"/>
      <c r="K18" t="inlineStr"/>
    </row>
    <row r="19">
      <c r="A19" t="inlineStr">
        <is>
          <t>605168</t>
        </is>
      </c>
      <c r="B19" t="n">
        <v>41.79</v>
      </c>
      <c r="C19" t="n">
        <v>1</v>
      </c>
      <c r="D19" t="n">
        <v>72782.07000000001</v>
      </c>
      <c r="E19" t="inlineStr"/>
      <c r="F19" t="inlineStr"/>
      <c r="G19">
        <f>E19/D19</f>
        <v/>
      </c>
      <c r="H19">
        <f>(F19-B19)/C19</f>
        <v/>
      </c>
      <c r="I19">
        <f>AND(G19&lt;0.75,H19&gt;=0.8)</f>
        <v/>
      </c>
      <c r="J19" t="inlineStr"/>
      <c r="K19" t="inlineStr"/>
    </row>
    <row r="20">
      <c r="A20" t="inlineStr">
        <is>
          <t>002297</t>
        </is>
      </c>
      <c r="B20" t="n">
        <v>19.46</v>
      </c>
      <c r="C20" t="n">
        <v>0.83</v>
      </c>
      <c r="D20" t="n">
        <v>86.45</v>
      </c>
      <c r="E20" t="inlineStr"/>
      <c r="F20" t="inlineStr"/>
      <c r="G20">
        <f>E20/D20</f>
        <v/>
      </c>
      <c r="H20">
        <f>(F20-B20)/C20</f>
        <v/>
      </c>
      <c r="I20">
        <f>AND(G20&lt;0.75,H20&gt;=0.8)</f>
        <v/>
      </c>
      <c r="J20" t="inlineStr"/>
      <c r="K20" t="inlineStr"/>
    </row>
    <row r="21">
      <c r="A21" t="inlineStr">
        <is>
          <t>603268</t>
        </is>
      </c>
      <c r="B21" t="n">
        <v>133.34</v>
      </c>
      <c r="C21" t="n">
        <v>0.79</v>
      </c>
      <c r="D21" t="n">
        <v>13.24</v>
      </c>
      <c r="E21" t="inlineStr"/>
      <c r="F21" t="inlineStr"/>
      <c r="G21">
        <f>E21/D21</f>
        <v/>
      </c>
      <c r="H21">
        <f>(F21-B21)/C21</f>
        <v/>
      </c>
      <c r="I21">
        <f>AND(G21&lt;0.75,H21&gt;=0.8)</f>
        <v/>
      </c>
      <c r="J21" t="inlineStr"/>
      <c r="K21" t="inlineStr"/>
    </row>
    <row r="22">
      <c r="A22" t="inlineStr">
        <is>
          <t>002957</t>
        </is>
      </c>
      <c r="B22" t="n">
        <v>47.96</v>
      </c>
      <c r="C22" t="n">
        <v>0.74</v>
      </c>
      <c r="D22" t="n">
        <v>43.51</v>
      </c>
      <c r="E22" t="inlineStr"/>
      <c r="F22" t="inlineStr"/>
      <c r="G22">
        <f>E22/D22</f>
        <v/>
      </c>
      <c r="H22">
        <f>(F22-B22)/C22</f>
        <v/>
      </c>
      <c r="I22">
        <f>AND(G22&lt;0.75,H22&gt;=0.8)</f>
        <v/>
      </c>
      <c r="J22" t="inlineStr"/>
      <c r="K22" t="inlineStr"/>
    </row>
    <row r="23">
      <c r="A23" t="inlineStr">
        <is>
          <t>002415</t>
        </is>
      </c>
      <c r="B23" t="n">
        <v>34.51</v>
      </c>
      <c r="C23" t="n">
        <v>0.65</v>
      </c>
      <c r="D23" t="n">
        <v>133.44</v>
      </c>
      <c r="E23" t="inlineStr"/>
      <c r="F23" t="inlineStr"/>
      <c r="G23">
        <f>E23/D23</f>
        <v/>
      </c>
      <c r="H23">
        <f>(F23-B23)/C23</f>
        <v/>
      </c>
      <c r="I23">
        <f>AND(G23&lt;0.75,H23&gt;=0.8)</f>
        <v/>
      </c>
      <c r="J23" t="inlineStr"/>
      <c r="K23" t="inlineStr"/>
    </row>
    <row r="24">
      <c r="A24" t="inlineStr">
        <is>
          <t>600498</t>
        </is>
      </c>
      <c r="B24" t="n">
        <v>52.97</v>
      </c>
      <c r="C24" t="n">
        <v>0.62</v>
      </c>
      <c r="D24" t="n">
        <v>132.34</v>
      </c>
      <c r="E24" t="inlineStr"/>
      <c r="F24" t="inlineStr"/>
      <c r="G24">
        <f>E24/D24</f>
        <v/>
      </c>
      <c r="H24">
        <f>(F24-B24)/C24</f>
        <v/>
      </c>
      <c r="I24">
        <f>AND(G24&lt;0.75,H24&gt;=0.8)</f>
        <v/>
      </c>
      <c r="J24" t="inlineStr"/>
      <c r="K24" t="inlineStr"/>
    </row>
    <row r="25">
      <c r="A25" t="inlineStr">
        <is>
          <t>002418</t>
        </is>
      </c>
      <c r="B25" t="n">
        <v>6.81</v>
      </c>
      <c r="C25" t="n">
        <v>0.61</v>
      </c>
      <c r="D25" t="n">
        <v>62.81</v>
      </c>
      <c r="E25" t="inlineStr"/>
      <c r="F25" t="inlineStr"/>
      <c r="G25">
        <f>E25/D25</f>
        <v/>
      </c>
      <c r="H25">
        <f>(F25-B25)/C25</f>
        <v/>
      </c>
      <c r="I25">
        <f>AND(G25&lt;0.75,H25&gt;=0.8)</f>
        <v/>
      </c>
      <c r="J25" t="inlineStr"/>
      <c r="K25" t="inlineStr"/>
    </row>
    <row r="26">
      <c r="A26" t="inlineStr">
        <is>
          <t>300223</t>
        </is>
      </c>
      <c r="B26" t="n">
        <v>121.04</v>
      </c>
      <c r="C26" t="n">
        <v>0.53</v>
      </c>
      <c r="D26" t="n">
        <v>35.63</v>
      </c>
      <c r="E26" t="inlineStr"/>
      <c r="F26" t="inlineStr"/>
      <c r="G26">
        <f>E26/D26</f>
        <v/>
      </c>
      <c r="H26">
        <f>(F26-B26)/C26</f>
        <v/>
      </c>
      <c r="I26">
        <f>AND(G26&lt;0.75,H26&gt;=0.8)</f>
        <v/>
      </c>
      <c r="J26" t="inlineStr"/>
      <c r="K26" t="inlineStr"/>
    </row>
    <row r="27">
      <c r="A27" t="inlineStr">
        <is>
          <t>003023</t>
        </is>
      </c>
      <c r="B27" t="n">
        <v>31.74</v>
      </c>
      <c r="C27" t="n">
        <v>0.53</v>
      </c>
      <c r="D27" t="n">
        <v>51888.8</v>
      </c>
      <c r="E27" t="inlineStr"/>
      <c r="F27" t="inlineStr"/>
      <c r="G27">
        <f>E27/D27</f>
        <v/>
      </c>
      <c r="H27">
        <f>(F27-B27)/C27</f>
        <v/>
      </c>
      <c r="I27">
        <f>AND(G27&lt;0.75,H27&gt;=0.8)</f>
        <v/>
      </c>
      <c r="J27" t="inlineStr"/>
      <c r="K27" t="inlineStr"/>
    </row>
    <row r="28">
      <c r="A28" t="inlineStr">
        <is>
          <t>605118</t>
        </is>
      </c>
      <c r="B28" t="n">
        <v>46.5</v>
      </c>
      <c r="C28" t="n">
        <v>0.51</v>
      </c>
      <c r="D28" t="n">
        <v>92173.33</v>
      </c>
      <c r="E28" t="inlineStr"/>
      <c r="F28" t="inlineStr"/>
      <c r="G28">
        <f>E28/D28</f>
        <v/>
      </c>
      <c r="H28">
        <f>(F28-B28)/C28</f>
        <v/>
      </c>
      <c r="I28">
        <f>AND(G28&lt;0.75,H28&gt;=0.8)</f>
        <v/>
      </c>
      <c r="J28" t="inlineStr"/>
      <c r="K28" t="inlineStr"/>
    </row>
    <row r="29">
      <c r="A29" t="inlineStr">
        <is>
          <t>300693</t>
        </is>
      </c>
      <c r="B29" t="n">
        <v>52.54</v>
      </c>
      <c r="C29" t="n">
        <v>0.48</v>
      </c>
      <c r="D29" t="n">
        <v>28.89</v>
      </c>
      <c r="E29" t="inlineStr"/>
      <c r="F29" t="inlineStr"/>
      <c r="G29">
        <f>E29/D29</f>
        <v/>
      </c>
      <c r="H29">
        <f>(F29-B29)/C29</f>
        <v/>
      </c>
      <c r="I29">
        <f>AND(G29&lt;0.75,H29&gt;=0.8)</f>
        <v/>
      </c>
      <c r="J29" t="inlineStr"/>
      <c r="K29" t="inlineStr"/>
    </row>
    <row r="30">
      <c r="A30" t="inlineStr">
        <is>
          <t>603738</t>
        </is>
      </c>
      <c r="B30" t="n">
        <v>31.52</v>
      </c>
      <c r="C30" t="n">
        <v>0.4</v>
      </c>
      <c r="D30" t="n">
        <v>66.42</v>
      </c>
      <c r="E30" t="inlineStr"/>
      <c r="F30" t="inlineStr"/>
      <c r="G30">
        <f>E30/D30</f>
        <v/>
      </c>
      <c r="H30">
        <f>(F30-B30)/C30</f>
        <v/>
      </c>
      <c r="I30">
        <f>AND(G30&lt;0.75,H30&gt;=0.8)</f>
        <v/>
      </c>
      <c r="J30" t="inlineStr"/>
      <c r="K30" t="inlineStr"/>
    </row>
    <row r="31">
      <c r="A31" t="inlineStr">
        <is>
          <t>300012</t>
        </is>
      </c>
      <c r="B31" t="n">
        <v>17.18</v>
      </c>
      <c r="C31" t="n">
        <v>0.39</v>
      </c>
      <c r="D31" t="n">
        <v>111.07</v>
      </c>
      <c r="E31" t="inlineStr"/>
      <c r="F31" t="inlineStr"/>
      <c r="G31">
        <f>E31/D31</f>
        <v/>
      </c>
      <c r="H31">
        <f>(F31-B31)/C31</f>
        <v/>
      </c>
      <c r="I31">
        <f>AND(G31&lt;0.75,H31&gt;=0.8)</f>
        <v/>
      </c>
      <c r="J31" t="inlineStr"/>
      <c r="K31" t="inlineStr"/>
    </row>
    <row r="32">
      <c r="A32" t="inlineStr">
        <is>
          <t>300433</t>
        </is>
      </c>
      <c r="B32" t="n">
        <v>27.2</v>
      </c>
      <c r="C32" t="n">
        <v>0.38</v>
      </c>
      <c r="D32" t="n">
        <v>157.13</v>
      </c>
      <c r="E32" t="inlineStr"/>
      <c r="F32" t="inlineStr"/>
      <c r="G32">
        <f>E32/D32</f>
        <v/>
      </c>
      <c r="H32">
        <f>(F32-B32)/C32</f>
        <v/>
      </c>
      <c r="I32">
        <f>AND(G32&lt;0.75,H32&gt;=0.8)</f>
        <v/>
      </c>
      <c r="J32" t="inlineStr"/>
      <c r="K32" t="inlineStr"/>
    </row>
    <row r="33">
      <c r="A33" t="inlineStr">
        <is>
          <t>300102</t>
        </is>
      </c>
      <c r="B33" t="n">
        <v>35.51</v>
      </c>
      <c r="C33" t="n">
        <v>0.34</v>
      </c>
      <c r="D33" t="n">
        <v>105.08</v>
      </c>
      <c r="E33" t="inlineStr"/>
      <c r="F33" t="inlineStr"/>
      <c r="G33">
        <f>E33/D33</f>
        <v/>
      </c>
      <c r="H33">
        <f>(F33-B33)/C33</f>
        <v/>
      </c>
      <c r="I33">
        <f>AND(G33&lt;0.75,H33&gt;=0.8)</f>
        <v/>
      </c>
      <c r="J33" t="inlineStr"/>
      <c r="K33" t="inlineStr"/>
    </row>
    <row r="34">
      <c r="A34" t="inlineStr">
        <is>
          <t>600522</t>
        </is>
      </c>
      <c r="B34" t="n">
        <v>30.95</v>
      </c>
      <c r="C34" t="n">
        <v>0.33</v>
      </c>
      <c r="D34" t="n">
        <v>224.78</v>
      </c>
      <c r="E34" t="inlineStr"/>
      <c r="F34" t="inlineStr"/>
      <c r="G34">
        <f>E34/D34</f>
        <v/>
      </c>
      <c r="H34">
        <f>(F34-B34)/C34</f>
        <v/>
      </c>
      <c r="I34">
        <f>AND(G34&lt;0.75,H34&gt;=0.8)</f>
        <v/>
      </c>
      <c r="J34" t="inlineStr"/>
      <c r="K34" t="inlineStr"/>
    </row>
    <row r="35">
      <c r="A35" t="inlineStr">
        <is>
          <t>605007</t>
        </is>
      </c>
      <c r="B35" t="n">
        <v>15.52</v>
      </c>
      <c r="C35" t="n">
        <v>0.33</v>
      </c>
      <c r="D35" t="n">
        <v>17.17</v>
      </c>
      <c r="E35" t="inlineStr"/>
      <c r="F35" t="inlineStr"/>
      <c r="G35">
        <f>E35/D35</f>
        <v/>
      </c>
      <c r="H35">
        <f>(F35-B35)/C35</f>
        <v/>
      </c>
      <c r="I35">
        <f>AND(G35&lt;0.75,H35&gt;=0.8)</f>
        <v/>
      </c>
      <c r="J35" t="inlineStr"/>
      <c r="K35" t="inlineStr"/>
    </row>
    <row r="36">
      <c r="A36" t="inlineStr">
        <is>
          <t>002491</t>
        </is>
      </c>
      <c r="B36" t="n">
        <v>16.64</v>
      </c>
      <c r="C36" t="n">
        <v>0.28</v>
      </c>
      <c r="D36" t="n">
        <v>71.77</v>
      </c>
      <c r="E36" t="inlineStr"/>
      <c r="F36" t="inlineStr"/>
      <c r="G36">
        <f>E36/D36</f>
        <v/>
      </c>
      <c r="H36">
        <f>(F36-B36)/C36</f>
        <v/>
      </c>
      <c r="I36">
        <f>AND(G36&lt;0.75,H36&gt;=0.8)</f>
        <v/>
      </c>
      <c r="J36" t="inlineStr"/>
      <c r="K36" t="inlineStr"/>
    </row>
    <row r="37">
      <c r="A37" t="inlineStr">
        <is>
          <t>003039</t>
        </is>
      </c>
      <c r="B37" t="n">
        <v>15.24</v>
      </c>
      <c r="C37" t="n">
        <v>0.26</v>
      </c>
      <c r="D37" t="n">
        <v>18.16</v>
      </c>
      <c r="E37" t="inlineStr"/>
      <c r="F37" t="inlineStr"/>
      <c r="G37">
        <f>E37/D37</f>
        <v/>
      </c>
      <c r="H37">
        <f>(F37-B37)/C37</f>
        <v/>
      </c>
      <c r="I37">
        <f>AND(G37&lt;0.75,H37&gt;=0.8)</f>
        <v/>
      </c>
      <c r="J37" t="inlineStr"/>
      <c r="K37" t="inlineStr"/>
    </row>
    <row r="38">
      <c r="A38" t="inlineStr">
        <is>
          <t>002647</t>
        </is>
      </c>
      <c r="B38" t="n">
        <v>11.54</v>
      </c>
      <c r="C38" t="n">
        <v>0.25</v>
      </c>
      <c r="D38" t="n">
        <v>20.65</v>
      </c>
      <c r="E38" t="inlineStr"/>
      <c r="F38" t="inlineStr"/>
      <c r="G38">
        <f>E38/D38</f>
        <v/>
      </c>
      <c r="H38">
        <f>(F38-B38)/C38</f>
        <v/>
      </c>
      <c r="I38">
        <f>AND(G38&lt;0.75,H38&gt;=0.8)</f>
        <v/>
      </c>
      <c r="J38" t="inlineStr"/>
      <c r="K38" t="inlineStr"/>
    </row>
    <row r="39">
      <c r="A39" t="inlineStr">
        <is>
          <t>600234</t>
        </is>
      </c>
      <c r="B39" t="n">
        <v>21.91</v>
      </c>
      <c r="C39" t="n">
        <v>0.2</v>
      </c>
      <c r="D39" t="n">
        <v>16.28</v>
      </c>
      <c r="E39" t="inlineStr"/>
      <c r="F39" t="inlineStr"/>
      <c r="G39">
        <f>E39/D39</f>
        <v/>
      </c>
      <c r="H39">
        <f>(F39-B39)/C39</f>
        <v/>
      </c>
      <c r="I39">
        <f>AND(G39&lt;0.75,H39&gt;=0.8)</f>
        <v/>
      </c>
      <c r="J39" t="inlineStr"/>
      <c r="K39" t="inlineStr"/>
    </row>
    <row r="40">
      <c r="A40" t="inlineStr">
        <is>
          <t>300589</t>
        </is>
      </c>
      <c r="B40" t="n">
        <v>16.84</v>
      </c>
      <c r="C40" t="n">
        <v>0.17</v>
      </c>
      <c r="D40" t="n">
        <v>36.32</v>
      </c>
      <c r="E40" t="inlineStr"/>
      <c r="F40" t="inlineStr"/>
      <c r="G40">
        <f>E40/D40</f>
        <v/>
      </c>
      <c r="H40">
        <f>(F40-B40)/C40</f>
        <v/>
      </c>
      <c r="I40">
        <f>AND(G40&lt;0.75,H40&gt;=0.8)</f>
        <v/>
      </c>
      <c r="J40" t="inlineStr"/>
      <c r="K40" t="inlineStr"/>
    </row>
    <row r="41">
      <c r="A41" t="inlineStr">
        <is>
          <t>300252</t>
        </is>
      </c>
      <c r="B41" t="n">
        <v>14.99</v>
      </c>
      <c r="C41" t="n">
        <v>0.17</v>
      </c>
      <c r="D41" t="n">
        <v>58</v>
      </c>
      <c r="E41" t="inlineStr"/>
      <c r="F41" t="inlineStr"/>
      <c r="G41">
        <f>E41/D41</f>
        <v/>
      </c>
      <c r="H41">
        <f>(F41-B41)/C41</f>
        <v/>
      </c>
      <c r="I41">
        <f>AND(G41&lt;0.75,H41&gt;=0.8)</f>
        <v/>
      </c>
      <c r="J41" t="inlineStr"/>
      <c r="K41" t="inlineStr"/>
    </row>
    <row r="42">
      <c r="A42" t="inlineStr">
        <is>
          <t>300184</t>
        </is>
      </c>
      <c r="B42" t="n">
        <v>12.95</v>
      </c>
      <c r="C42" t="n">
        <v>0.15</v>
      </c>
      <c r="D42" t="n">
        <v>258.35</v>
      </c>
      <c r="E42" t="inlineStr"/>
      <c r="F42" t="inlineStr"/>
      <c r="G42">
        <f>E42/D42</f>
        <v/>
      </c>
      <c r="H42">
        <f>(F42-B42)/C42</f>
        <v/>
      </c>
      <c r="I42">
        <f>AND(G42&lt;0.75,H42&gt;=0.8)</f>
        <v/>
      </c>
      <c r="J42" t="inlineStr"/>
      <c r="K42" t="inlineStr"/>
    </row>
    <row r="43">
      <c r="A43" t="inlineStr">
        <is>
          <t>600685</t>
        </is>
      </c>
      <c r="B43" t="n">
        <v>30.66</v>
      </c>
      <c r="C43" t="n">
        <v>0.13</v>
      </c>
      <c r="D43" t="n">
        <v>28</v>
      </c>
      <c r="E43" t="inlineStr"/>
      <c r="F43" t="inlineStr"/>
      <c r="G43">
        <f>E43/D43</f>
        <v/>
      </c>
      <c r="H43">
        <f>(F43-B43)/C43</f>
        <v/>
      </c>
      <c r="I43">
        <f>AND(G43&lt;0.75,H43&gt;=0.8)</f>
        <v/>
      </c>
      <c r="J43" t="inlineStr"/>
      <c r="K43" t="inlineStr"/>
    </row>
    <row r="44">
      <c r="A44" t="inlineStr">
        <is>
          <t>603318</t>
        </is>
      </c>
      <c r="B44" t="n">
        <v>8.470000000000001</v>
      </c>
      <c r="C44" t="n">
        <v>0.12</v>
      </c>
      <c r="D44" t="n">
        <v>54.77</v>
      </c>
      <c r="E44" t="inlineStr"/>
      <c r="F44" t="inlineStr"/>
      <c r="G44">
        <f>E44/D44</f>
        <v/>
      </c>
      <c r="H44">
        <f>(F44-B44)/C44</f>
        <v/>
      </c>
      <c r="I44">
        <f>AND(G44&lt;0.75,H44&gt;=0.8)</f>
        <v/>
      </c>
      <c r="J44" t="inlineStr"/>
      <c r="K44" t="inlineStr"/>
    </row>
    <row r="45">
      <c r="A45" t="inlineStr">
        <is>
          <t>603278</t>
        </is>
      </c>
      <c r="B45" t="n">
        <v>12.65</v>
      </c>
      <c r="C45" t="n">
        <v>0.11</v>
      </c>
      <c r="D45" t="n">
        <v>70.90000000000001</v>
      </c>
      <c r="E45" t="inlineStr"/>
      <c r="F45" t="inlineStr"/>
      <c r="G45">
        <f>E45/D45</f>
        <v/>
      </c>
      <c r="H45">
        <f>(F45-B45)/C45</f>
        <v/>
      </c>
      <c r="I45">
        <f>AND(G45&lt;0.75,H45&gt;=0.8)</f>
        <v/>
      </c>
      <c r="J45" t="inlineStr"/>
      <c r="K45" t="inlineStr"/>
    </row>
    <row r="46">
      <c r="A46" t="inlineStr">
        <is>
          <t>300602</t>
        </is>
      </c>
      <c r="B46" t="n">
        <v>35.8</v>
      </c>
      <c r="C46" t="n">
        <v>0.08</v>
      </c>
      <c r="D46" t="n">
        <v>38.58</v>
      </c>
      <c r="E46" t="inlineStr"/>
      <c r="F46" t="inlineStr"/>
      <c r="G46">
        <f>E46/D46</f>
        <v/>
      </c>
      <c r="H46">
        <f>(F46-B46)/C46</f>
        <v/>
      </c>
      <c r="I46">
        <f>AND(G46&lt;0.75,H46&gt;=0.8)</f>
        <v/>
      </c>
      <c r="J46" t="inlineStr"/>
      <c r="K46" t="inlineStr"/>
    </row>
    <row r="47">
      <c r="A47" t="inlineStr">
        <is>
          <t>003018</t>
        </is>
      </c>
      <c r="B47" t="n">
        <v>43.14</v>
      </c>
      <c r="C47" t="n">
        <v>0.08</v>
      </c>
      <c r="D47" t="n">
        <v>17.86</v>
      </c>
      <c r="E47" t="inlineStr"/>
      <c r="F47" t="inlineStr"/>
      <c r="G47">
        <f>E47/D47</f>
        <v/>
      </c>
      <c r="H47">
        <f>(F47-B47)/C47</f>
        <v/>
      </c>
      <c r="I47">
        <f>AND(G47&lt;0.75,H47&gt;=0.8)</f>
        <v/>
      </c>
      <c r="J47" t="inlineStr"/>
      <c r="K47" t="inlineStr"/>
    </row>
    <row r="48">
      <c r="A48" t="inlineStr">
        <is>
          <t>000657</t>
        </is>
      </c>
      <c r="B48" t="n">
        <v>58.54</v>
      </c>
      <c r="C48" t="n">
        <v>0.07000000000000001</v>
      </c>
      <c r="D48" t="n">
        <v>144.16</v>
      </c>
      <c r="E48" t="inlineStr"/>
      <c r="F48" t="inlineStr"/>
      <c r="G48">
        <f>E48/D48</f>
        <v/>
      </c>
      <c r="H48">
        <f>(F48-B48)/C48</f>
        <v/>
      </c>
      <c r="I48">
        <f>AND(G48&lt;0.75,H48&gt;=0.8)</f>
        <v/>
      </c>
      <c r="J48" t="inlineStr"/>
      <c r="K48" t="inlineStr"/>
    </row>
    <row r="49">
      <c r="A49" t="inlineStr">
        <is>
          <t>002203</t>
        </is>
      </c>
      <c r="B49" t="n">
        <v>17.91</v>
      </c>
      <c r="C49" t="n">
        <v>0.07000000000000001</v>
      </c>
      <c r="D49" t="n">
        <v>103.65</v>
      </c>
      <c r="E49" t="inlineStr"/>
      <c r="F49" t="inlineStr"/>
      <c r="G49">
        <f>E49/D49</f>
        <v/>
      </c>
      <c r="H49">
        <f>(F49-B49)/C49</f>
        <v/>
      </c>
      <c r="I49">
        <f>AND(G49&lt;0.75,H49&gt;=0.8)</f>
        <v/>
      </c>
      <c r="J49" t="inlineStr"/>
      <c r="K49" t="inlineStr"/>
    </row>
    <row r="50">
      <c r="A50" t="inlineStr">
        <is>
          <t>000778</t>
        </is>
      </c>
      <c r="B50" t="n">
        <v>4.75</v>
      </c>
      <c r="C50" t="n">
        <v>0.05</v>
      </c>
      <c r="D50" t="n">
        <v>162.8</v>
      </c>
      <c r="E50" t="inlineStr"/>
      <c r="F50" t="inlineStr"/>
      <c r="G50">
        <f>E50/D50</f>
        <v/>
      </c>
      <c r="H50">
        <f>(F50-B50)/C50</f>
        <v/>
      </c>
      <c r="I50">
        <f>AND(G50&lt;0.75,H50&gt;=0.8)</f>
        <v/>
      </c>
      <c r="J50" t="inlineStr"/>
      <c r="K50" t="inlineStr"/>
    </row>
    <row r="51">
      <c r="A51" t="inlineStr">
        <is>
          <t>002927</t>
        </is>
      </c>
      <c r="B51" t="n">
        <v>18.27</v>
      </c>
      <c r="C51" t="n">
        <v>0.05</v>
      </c>
      <c r="D51" t="n">
        <v>11.38</v>
      </c>
      <c r="E51" t="inlineStr"/>
      <c r="F51" t="inlineStr"/>
      <c r="G51">
        <f>E51/D51</f>
        <v/>
      </c>
      <c r="H51">
        <f>(F51-B51)/C51</f>
        <v/>
      </c>
      <c r="I51">
        <f>AND(G51&lt;0.75,H51&gt;=0.8)</f>
        <v/>
      </c>
      <c r="J51" t="inlineStr"/>
      <c r="K51" t="inlineStr"/>
    </row>
    <row r="52">
      <c r="A52" t="inlineStr">
        <is>
          <t>000592</t>
        </is>
      </c>
      <c r="B52" t="n">
        <v>11.4</v>
      </c>
      <c r="C52" t="n">
        <v>0.04</v>
      </c>
      <c r="D52" t="n">
        <v>273.64</v>
      </c>
      <c r="E52" t="inlineStr"/>
      <c r="F52" t="inlineStr"/>
      <c r="G52">
        <f>E52/D52</f>
        <v/>
      </c>
      <c r="H52">
        <f>(F52-B52)/C52</f>
        <v/>
      </c>
      <c r="I52">
        <f>AND(G52&lt;0.75,H52&gt;=0.8)</f>
        <v/>
      </c>
      <c r="J52" t="inlineStr"/>
      <c r="K52" t="inlineStr"/>
    </row>
    <row r="53">
      <c r="A53" t="inlineStr">
        <is>
          <t>603135</t>
        </is>
      </c>
      <c r="B53" t="n">
        <v>11.4</v>
      </c>
      <c r="C53" t="n">
        <v>0.04</v>
      </c>
      <c r="D53" t="n">
        <v>78052.84</v>
      </c>
      <c r="E53" t="inlineStr"/>
      <c r="F53" t="inlineStr"/>
      <c r="G53">
        <f>E53/D53</f>
        <v/>
      </c>
      <c r="H53">
        <f>(F53-B53)/C53</f>
        <v/>
      </c>
      <c r="I53">
        <f>AND(G53&lt;0.75,H53&gt;=0.8)</f>
        <v/>
      </c>
      <c r="J53" t="inlineStr"/>
      <c r="K53" t="inlineStr"/>
    </row>
    <row r="54">
      <c r="A54" t="inlineStr">
        <is>
          <t>600869</t>
        </is>
      </c>
      <c r="B54" t="n">
        <v>15.51</v>
      </c>
      <c r="C54" t="n">
        <v>0.03</v>
      </c>
      <c r="D54" t="n">
        <v>116.55</v>
      </c>
      <c r="E54" t="inlineStr"/>
      <c r="F54" t="inlineStr"/>
      <c r="G54">
        <f>E54/D54</f>
        <v/>
      </c>
      <c r="H54">
        <f>(F54-B54)/C54</f>
        <v/>
      </c>
      <c r="I54">
        <f>AND(G54&lt;0.75,H54&gt;=0.8)</f>
        <v/>
      </c>
      <c r="J54" t="inlineStr"/>
      <c r="K54" t="inlineStr"/>
    </row>
    <row r="55">
      <c r="A55" t="inlineStr">
        <is>
          <t>003041</t>
        </is>
      </c>
      <c r="B55" t="n">
        <v>61.37</v>
      </c>
      <c r="C55" t="n">
        <v>0.03</v>
      </c>
      <c r="D55" t="n">
        <v>95078.71000000001</v>
      </c>
      <c r="E55" t="inlineStr"/>
      <c r="F55" t="inlineStr"/>
      <c r="G55">
        <f>E55/D55</f>
        <v/>
      </c>
      <c r="H55">
        <f>(F55-B55)/C55</f>
        <v/>
      </c>
      <c r="I55">
        <f>AND(G55&lt;0.75,H55&gt;=0.8)</f>
        <v/>
      </c>
      <c r="J55" t="inlineStr"/>
      <c r="K55" t="inlineStr"/>
    </row>
    <row r="56">
      <c r="A56" t="inlineStr">
        <is>
          <t>000725</t>
        </is>
      </c>
      <c r="B56" t="n">
        <v>4.19</v>
      </c>
      <c r="C56" t="n">
        <v>0.01</v>
      </c>
      <c r="D56" t="n">
        <v>1190.46</v>
      </c>
      <c r="E56" t="inlineStr"/>
      <c r="F56" t="inlineStr"/>
      <c r="G56">
        <f>E56/D56</f>
        <v/>
      </c>
      <c r="H56">
        <f>(F56-B56)/C56</f>
        <v/>
      </c>
      <c r="I56">
        <f>AND(G56&lt;0.75,H56&gt;=0.8)</f>
        <v/>
      </c>
      <c r="J56" t="inlineStr"/>
      <c r="K56" t="inlineStr"/>
    </row>
    <row r="57">
      <c r="A57" t="inlineStr">
        <is>
          <t>600586</t>
        </is>
      </c>
      <c r="B57" t="n">
        <v>5.7</v>
      </c>
      <c r="C57" t="n">
        <v>0.01</v>
      </c>
      <c r="D57" t="n">
        <v>84.44</v>
      </c>
      <c r="E57" t="inlineStr"/>
      <c r="F57" t="inlineStr"/>
      <c r="G57">
        <f>E57/D57</f>
        <v/>
      </c>
      <c r="H57">
        <f>(F57-B57)/C57</f>
        <v/>
      </c>
      <c r="I57">
        <f>AND(G57&lt;0.75,H57&gt;=0.8)</f>
        <v/>
      </c>
      <c r="J57" t="inlineStr"/>
      <c r="K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2026-04-20T14:04:35Z</dcterms:created>
  <dcterms:modified xmlns:dcterms="http://purl.org/dc/terms/" xmlns:xsi="http://www.w3.org/2001/XMLSchema-instance" xsi:type="dcterms:W3CDTF">2026-04-20T14:04:35Z</dcterms:modified>
</cp:coreProperties>
</file>